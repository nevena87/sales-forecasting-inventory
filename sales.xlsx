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slicers/slicer1.xml" ContentType="application/vnd.ms-excel.slicer+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Nevena\Radna površina\"/>
    </mc:Choice>
  </mc:AlternateContent>
  <xr:revisionPtr revIDLastSave="0" documentId="13_ncr:1_{6C3CE27F-C931-434C-B503-B0C00F1AF2E3}" xr6:coauthVersionLast="47" xr6:coauthVersionMax="47" xr10:uidLastSave="{00000000-0000-0000-0000-000000000000}"/>
  <bookViews>
    <workbookView xWindow="-108" yWindow="-108" windowWidth="23256" windowHeight="12456" xr2:uid="{CEF86931-DF63-47D1-B6C0-F9AFAE0F8D08}"/>
  </bookViews>
  <sheets>
    <sheet name="Sheet1" sheetId="1" r:id="rId1"/>
    <sheet name="Sheet2" sheetId="2" r:id="rId2"/>
    <sheet name="Sheet3" sheetId="3" r:id="rId3"/>
  </sheets>
  <definedNames>
    <definedName name="Slicer_Customer">#N/A</definedName>
    <definedName name="Slicer_Region">#N/A</definedName>
  </definedNames>
  <calcPr calcId="191029"/>
  <pivotCaches>
    <pivotCache cacheId="0" r:id="rId4"/>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5"/>
        <x14:slicerCache r:id="rId6"/>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12" i="1" l="1"/>
  <c r="A21" i="1"/>
  <c r="K12" i="1"/>
  <c r="I12" i="1"/>
  <c r="E12" i="1"/>
  <c r="B15" i="1"/>
  <c r="A15" i="1"/>
  <c r="B5" i="3" a="1"/>
  <c r="B5" i="3" s="1"/>
  <c r="K2" i="1"/>
  <c r="K3" i="1"/>
  <c r="K4" i="1"/>
  <c r="K5" i="1"/>
  <c r="K6" i="1"/>
  <c r="K7" i="1"/>
  <c r="K8" i="1"/>
  <c r="K9" i="1"/>
  <c r="K10" i="1"/>
  <c r="K11" i="1"/>
  <c r="J2" i="1"/>
  <c r="J3" i="1"/>
  <c r="J4" i="1"/>
  <c r="J5" i="1"/>
  <c r="J6" i="1"/>
  <c r="J7" i="1"/>
  <c r="J8" i="1"/>
  <c r="J9" i="1"/>
  <c r="J10" i="1"/>
  <c r="J11" i="1"/>
  <c r="A22" i="1"/>
  <c r="B18" i="1"/>
  <c r="I2" i="1"/>
  <c r="I3" i="1"/>
  <c r="I4" i="1"/>
  <c r="I5" i="1"/>
  <c r="I6" i="1"/>
  <c r="I7" i="1"/>
  <c r="I8" i="1"/>
  <c r="I9" i="1"/>
  <c r="I10" i="1"/>
  <c r="I11" i="1"/>
  <c r="A18"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<sst xmlns="http://schemas.openxmlformats.org/spreadsheetml/2006/main" count="91" uniqueCount="37">
  <si>
    <t>Date</t>
  </si>
  <si>
    <t>Product</t>
  </si>
  <si>
    <t>Category</t>
  </si>
  <si>
    <t>Region</t>
  </si>
  <si>
    <t>Sales</t>
  </si>
  <si>
    <t>Quantity</t>
  </si>
  <si>
    <t>Customer</t>
  </si>
  <si>
    <t>Discount</t>
  </si>
  <si>
    <t>Phone</t>
  </si>
  <si>
    <t>Electronics</t>
  </si>
  <si>
    <t>North</t>
  </si>
  <si>
    <t>John</t>
  </si>
  <si>
    <t>Laptop</t>
  </si>
  <si>
    <t>South</t>
  </si>
  <si>
    <t>Ana</t>
  </si>
  <si>
    <t>Shirt</t>
  </si>
  <si>
    <t>Clothing</t>
  </si>
  <si>
    <t>West</t>
  </si>
  <si>
    <t>Mike</t>
  </si>
  <si>
    <t>East</t>
  </si>
  <si>
    <t>Sara</t>
  </si>
  <si>
    <t>Shoes</t>
  </si>
  <si>
    <t>Total after discount</t>
  </si>
  <si>
    <t>Total Electronics</t>
  </si>
  <si>
    <t>Electronics u North</t>
  </si>
  <si>
    <t>Row Labels</t>
  </si>
  <si>
    <t>Grand Total</t>
  </si>
  <si>
    <t>Sum of Sales</t>
  </si>
  <si>
    <t>Column Labels</t>
  </si>
  <si>
    <t>Koliko ima prodaja za "Phone"</t>
  </si>
  <si>
    <t>Koliko puta je Ana kupovala u North regionu</t>
  </si>
  <si>
    <t>Price</t>
  </si>
  <si>
    <t>Select Category</t>
  </si>
  <si>
    <t>Sales &gt; 1000</t>
  </si>
  <si>
    <t>Discount 20%</t>
  </si>
  <si>
    <t>A (Mesec)</t>
  </si>
  <si>
    <t>B (Prodaja)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</si>
</sst>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4">
    <xf numFmtId="0" fontId="0" fillId="0" borderId="0" xfId="0"/>
    <xf numFmtId="14" fontId="0" fillId="0" borderId="0" xfId="0" applyNumberFormat="1"/>
    <xf numFmtId="164" fontId="0" fillId="0" borderId="0" xfId="0" applyNumberFormat="1"/>
    <xf numFmtId="0" fontId="0" fillId="0" borderId="0" xfId="0" applyNumberFormat="1"/>
    <xf numFmtId="164" fontId="0" fillId="0" borderId="0" xfId="1" applyNumberFormat="1" applyFont="1"/>
    <xf numFmtId="10" fontId="0" fillId="0" borderId="0" xfId="2" applyNumberFormat="1" applyFont="1"/>
    <xf numFmtId="0" fontId="0" fillId="0" borderId="0" xfId="0" pivotButton="1"/>
    <xf numFmtId="0" fontId="0" fillId="0" borderId="0" xfId="0" applyAlignment="1">
      <alignment horizontal="left"/>
    </xf>
    <xf numFmtId="164" fontId="0" fillId="0" borderId="0" xfId="0" pivotButton="1" applyNumberFormat="1"/>
    <xf numFmtId="164" fontId="1" fillId="0" borderId="0" xfId="1" applyNumberFormat="1" applyFont="1"/>
    <xf numFmtId="0" fontId="2" fillId="0" borderId="0" xfId="0" applyFont="1" applyAlignment="1">
      <alignment horizontal="center" vertical="center" wrapText="1"/>
    </xf>
    <xf numFmtId="0" fontId="0" fillId="0" borderId="0" xfId="0" applyAlignment="1">
      <alignment vertical="center" wrapText="1"/>
    </xf>
    <xf numFmtId="2" fontId="0" fillId="0" borderId="0" xfId="0" applyNumberFormat="1"/>
    <xf numFmtId="14" fontId="0" fillId="0" borderId="0" xfId="0" applyNumberFormat="1" applyAlignment="1">
      <alignment horizontal="left"/>
    </xf>
  </cellXfs>
  <cellStyles count="3">
    <cellStyle name="Currency" xfId="1" builtinId="4"/>
    <cellStyle name="Normal" xfId="0" builtinId="0"/>
    <cellStyle name="Percent" xfId="2" builtinId="5"/>
  </cellStyles>
  <dxfs count="30">
    <dxf>
      <numFmt numFmtId="0" formatCode="General"/>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0" formatCode="General"/>
    </dxf>
    <dxf>
      <numFmt numFmtId="0" formatCode="General"/>
    </dxf>
    <dxf>
      <numFmt numFmtId="164" formatCode="&quot;$&quot;#,##0.00"/>
    </dxf>
    <dxf>
      <numFmt numFmtId="164" formatCode="&quot;$&quot;#,##0.00"/>
    </dxf>
    <dxf>
      <font>
        <b val="0"/>
        <i val="0"/>
        <strike val="0"/>
        <condense val="0"/>
        <extend val="0"/>
        <outline val="0"/>
        <shadow val="0"/>
        <u val="none"/>
        <vertAlign val="baseline"/>
        <sz val="11"/>
        <color theme="1"/>
        <name val="Aptos Narrow"/>
        <family val="2"/>
        <scheme val="minor"/>
      </font>
      <numFmt numFmtId="14" formatCode="0.00%"/>
    </dxf>
    <dxf>
      <numFmt numFmtId="14" formatCode="0.00%"/>
    </dxf>
    <dxf>
      <font>
        <b val="0"/>
        <i val="0"/>
        <strike val="0"/>
        <condense val="0"/>
        <extend val="0"/>
        <outline val="0"/>
        <shadow val="0"/>
        <u val="none"/>
        <vertAlign val="baseline"/>
        <sz val="11"/>
        <color theme="1"/>
        <name val="Aptos Narrow"/>
        <family val="2"/>
        <scheme val="minor"/>
      </font>
      <numFmt numFmtId="164" formatCode="&quot;$&quot;#,##0.00"/>
    </dxf>
    <dxf>
      <numFmt numFmtId="164" formatCode="&quot;$&quot;#,##0.00"/>
    </dxf>
    <dxf>
      <numFmt numFmtId="19" formatCode="mm/dd/yyyy"/>
    </dxf>
    <dxf>
      <numFmt numFmtId="19" formatCode="mm/d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eetMetadata" Target="metadata.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[shop.xlsx]Sheet2!PivotTable2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Sheet2!$E$3:$E$4</c:f>
              <c:strCache>
                <c:ptCount val="1"/>
                <c:pt idx="0">
                  <c:v>Clothing</c:v>
                </c:pt>
              </c:strCache>
            </c:strRef>
          </c:tx>
          <c:spPr>
            <a:solidFill>
              <a:schemeClr val="accent1"/>
            </a:solidFill>
            <a:ln>
              <a:noFill/>
            </a:ln>
            <a:effectLst/>
          </c:spPr>
          <c:invertIfNegative val="0"/>
          <c:cat>
            <c:strRef>
              <c:f>Sheet2!$D$5:$D$9</c:f>
              <c:strCache>
                <c:ptCount val="4"/>
                <c:pt idx="0">
                  <c:v>East</c:v>
                </c:pt>
                <c:pt idx="1">
                  <c:v>North</c:v>
                </c:pt>
                <c:pt idx="2">
                  <c:v>South</c:v>
                </c:pt>
                <c:pt idx="3">
                  <c:v>West</c:v>
                </c:pt>
              </c:strCache>
            </c:strRef>
          </c:cat>
          <c:val>
            <c:numRef>
              <c:f>Sheet2!$E$5:$E$9</c:f>
              <c:numCache>
                <c:formatCode>"$"#,##0.00</c:formatCode>
                <c:ptCount val="4"/>
                <c:pt idx="0">
                  <c:v>300</c:v>
                </c:pt>
                <c:pt idx="1">
                  <c:v>200</c:v>
                </c:pt>
                <c:pt idx="2">
                  <c:v>150</c:v>
                </c:pt>
                <c:pt idx="3">
                  <c:v>50</c:v>
                </c:pt>
              </c:numCache>
            </c:numRef>
          </c:val>
          <c:extLst>
            <c:ext xmlns:c16="http://schemas.microsoft.com/office/drawing/2014/chart" uri="{C3380CC4-5D6E-409C-BE32-E72D297353CC}">
              <c16:uniqueId val="{00000000-D549-4C8A-BDE7-74CBEAD1F55F}"/>
            </c:ext>
          </c:extLst>
        </c:ser>
        <c:ser>
          <c:idx val="1"/>
          <c:order val="1"/>
          <c:tx>
            <c:strRef>
              <c:f>Sheet2!$F$3:$F$4</c:f>
              <c:strCache>
                <c:ptCount val="1"/>
                <c:pt idx="0">
                  <c:v>Electronics</c:v>
                </c:pt>
              </c:strCache>
            </c:strRef>
          </c:tx>
          <c:spPr>
            <a:solidFill>
              <a:schemeClr val="accent2"/>
            </a:solidFill>
            <a:ln>
              <a:noFill/>
            </a:ln>
            <a:effectLst/>
          </c:spPr>
          <c:invertIfNegative val="0"/>
          <c:cat>
            <c:strRef>
              <c:f>Sheet2!$D$5:$D$9</c:f>
              <c:strCache>
                <c:ptCount val="4"/>
                <c:pt idx="0">
                  <c:v>East</c:v>
                </c:pt>
                <c:pt idx="1">
                  <c:v>North</c:v>
                </c:pt>
                <c:pt idx="2">
                  <c:v>South</c:v>
                </c:pt>
                <c:pt idx="3">
                  <c:v>West</c:v>
                </c:pt>
              </c:strCache>
            </c:strRef>
          </c:cat>
          <c:val>
            <c:numRef>
              <c:f>Sheet2!$F$5:$F$9</c:f>
              <c:numCache>
                <c:formatCode>"$"#,##0.00</c:formatCode>
                <c:ptCount val="4"/>
                <c:pt idx="0">
                  <c:v>1000</c:v>
                </c:pt>
                <c:pt idx="1">
                  <c:v>2450</c:v>
                </c:pt>
                <c:pt idx="2">
                  <c:v>1200</c:v>
                </c:pt>
                <c:pt idx="3">
                  <c:v>2400</c:v>
                </c:pt>
              </c:numCache>
            </c:numRef>
          </c:val>
          <c:extLst>
            <c:ext xmlns:c16="http://schemas.microsoft.com/office/drawing/2014/chart" uri="{C3380CC4-5D6E-409C-BE32-E72D297353CC}">
              <c16:uniqueId val="{00000004-D549-4C8A-BDE7-74CBEAD1F55F}"/>
            </c:ext>
          </c:extLst>
        </c:ser>
        <c:dLbls>
          <c:showLegendKey val="0"/>
          <c:showVal val="0"/>
          <c:showCatName val="0"/>
          <c:showSerName val="0"/>
          <c:showPercent val="0"/>
          <c:showBubbleSize val="0"/>
        </c:dLbls>
        <c:gapWidth val="182"/>
        <c:axId val="47330992"/>
        <c:axId val="47330032"/>
      </c:barChart>
      <c:catAx>
        <c:axId val="47330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30032"/>
        <c:crosses val="autoZero"/>
        <c:auto val="1"/>
        <c:lblAlgn val="ctr"/>
        <c:lblOffset val="100"/>
        <c:noMultiLvlLbl val="0"/>
      </c:catAx>
      <c:valAx>
        <c:axId val="47330032"/>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30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[shop.xlsx]Sheet2!PivotTable3</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Sheet2!$B$9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16D-4A99-9B82-1166A5706D9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16D-4A99-9B82-1166A5706D9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16D-4A99-9B82-1166A5706D9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16D-4A99-9B82-1166A5706D96}"/>
              </c:ext>
            </c:extLst>
          </c:dPt>
          <c:cat>
            <c:strRef>
              <c:f>Sheet2!$A$10:$A$14</c:f>
              <c:strCache>
                <c:ptCount val="4"/>
                <c:pt idx="0">
                  <c:v>East</c:v>
                </c:pt>
                <c:pt idx="1">
                  <c:v>North</c:v>
                </c:pt>
                <c:pt idx="2">
                  <c:v>South</c:v>
                </c:pt>
                <c:pt idx="3">
                  <c:v>West</c:v>
                </c:pt>
              </c:strCache>
            </c:strRef>
          </c:cat>
          <c:val>
            <c:numRef>
              <c:f>Sheet2!$B$10:$B$14</c:f>
              <c:numCache>
                <c:formatCode>"$"#,##0.00</c:formatCode>
                <c:ptCount val="4"/>
                <c:pt idx="0">
                  <c:v>1300</c:v>
                </c:pt>
                <c:pt idx="1">
                  <c:v>2650</c:v>
                </c:pt>
                <c:pt idx="2">
                  <c:v>1350</c:v>
                </c:pt>
                <c:pt idx="3">
                  <c:v>2450</c:v>
                </c:pt>
              </c:numCache>
            </c:numRef>
          </c:val>
          <c:extLst>
            <c:ext xmlns:c16="http://schemas.microsoft.com/office/drawing/2014/chart" uri="{C3380CC4-5D6E-409C-BE32-E72D297353CC}">
              <c16:uniqueId val="{00000000-74F4-4657-9325-AC23BECAE39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[shop.xlsx]Sheet3!PivotTable1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Sheet3!$B$9</c:f>
              <c:strCache>
                <c:ptCount val="1"/>
                <c:pt idx="0">
                  <c:v>Total</c:v>
                </c:pt>
              </c:strCache>
            </c:strRef>
          </c:tx>
          <c:spPr>
            <a:ln w="28575" cap="rnd">
              <a:solidFill>
                <a:schemeClr val="accent1"/>
              </a:solidFill>
              <a:round/>
            </a:ln>
            <a:effectLst/>
          </c:spPr>
          <c:marker>
            <c:symbol val="none"/>
          </c:marker>
          <c:cat>
            <c:strRef>
              <c:f>Sheet3!$A$10:$A$20</c:f>
              <c:strCache>
                <c:ptCount val="10"/>
                <c:pt idx="0">
                  <c:v>01/01/2025</c:v>
                </c:pt>
                <c:pt idx="1">
                  <c:v>01/02/2025</c:v>
                </c:pt>
                <c:pt idx="2">
                  <c:v>01/03/2025</c:v>
                </c:pt>
                <c:pt idx="3">
                  <c:v>01/04/2025</c:v>
                </c:pt>
                <c:pt idx="4">
                  <c:v>01/05/2025</c:v>
                </c:pt>
                <c:pt idx="5">
                  <c:v>01/06/2025</c:v>
                </c:pt>
                <c:pt idx="6">
                  <c:v>01/07/2025</c:v>
                </c:pt>
                <c:pt idx="7">
                  <c:v>01/08/2025</c:v>
                </c:pt>
                <c:pt idx="8">
                  <c:v>01/09/2025</c:v>
                </c:pt>
                <c:pt idx="9">
                  <c:v>01/10/2025</c:v>
                </c:pt>
              </c:strCache>
            </c:strRef>
          </c:cat>
          <c:val>
            <c:numRef>
              <c:f>Sheet3!$B$10:$B$20</c:f>
              <c:numCache>
                <c:formatCode>General</c:formatCode>
                <c:ptCount val="10"/>
                <c:pt idx="0">
                  <c:v>500</c:v>
                </c:pt>
                <c:pt idx="1">
                  <c:v>1200</c:v>
                </c:pt>
                <c:pt idx="2">
                  <c:v>50</c:v>
                </c:pt>
                <c:pt idx="3">
                  <c:v>1000</c:v>
                </c:pt>
                <c:pt idx="4">
                  <c:v>200</c:v>
                </c:pt>
                <c:pt idx="5">
                  <c:v>2400</c:v>
                </c:pt>
                <c:pt idx="6">
                  <c:v>150</c:v>
                </c:pt>
                <c:pt idx="7">
                  <c:v>750</c:v>
                </c:pt>
                <c:pt idx="8">
                  <c:v>300</c:v>
                </c:pt>
                <c:pt idx="9">
                  <c:v>1200</c:v>
                </c:pt>
              </c:numCache>
            </c:numRef>
          </c:val>
          <c:smooth val="0"/>
          <c:extLst>
            <c:ext xmlns:c16="http://schemas.microsoft.com/office/drawing/2014/chart" uri="{C3380CC4-5D6E-409C-BE32-E72D297353CC}">
              <c16:uniqueId val="{00000000-8EFB-444A-B54E-BBC392552CC9}"/>
            </c:ext>
          </c:extLst>
        </c:ser>
        <c:dLbls>
          <c:showLegendKey val="0"/>
          <c:showVal val="0"/>
          <c:showCatName val="0"/>
          <c:showSerName val="0"/>
          <c:showPercent val="0"/>
          <c:showBubbleSize val="0"/>
        </c:dLbls>
        <c:smooth val="0"/>
        <c:axId val="1715217984"/>
        <c:axId val="1715215104"/>
      </c:lineChart>
      <c:catAx>
        <c:axId val="1715217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5215104"/>
        <c:crosses val="autoZero"/>
        <c:auto val="1"/>
        <c:lblAlgn val="ctr"/>
        <c:lblOffset val="100"/>
        <c:noMultiLvlLbl val="0"/>
      </c:catAx>
      <c:valAx>
        <c:axId val="1715215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5217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absolute">
    <xdr:from>
      <xdr:col>8</xdr:col>
      <xdr:colOff>487680</xdr:colOff>
      <xdr:row>13</xdr:row>
      <xdr:rowOff>175260</xdr:rowOff>
    </xdr:from>
    <xdr:to>
      <xdr:col>10</xdr:col>
      <xdr:colOff>114300</xdr:colOff>
      <xdr:row>22</xdr:row>
      <xdr:rowOff>112395</xdr:rowOff>
    </xdr:to>
    <mc:AlternateContent xmlns:mc="http://schemas.openxmlformats.org/markup-compatibility/2006" xmlns:sle15="http://schemas.microsoft.com/office/drawing/2012/slicer">
      <mc:Choice Requires="sle15">
        <xdr:graphicFrame macro="">
          <xdr:nvGraphicFramePr>
            <xdr:cNvPr id="7" name="Region">
              <a:extLst>
                <a:ext uri="{FF2B5EF4-FFF2-40B4-BE49-F238E27FC236}">
                  <a16:creationId xmlns:a16="http://schemas.microsoft.com/office/drawing/2014/main" id="{BF051418-6AC6-157E-9806-4114F1541DB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141720" y="2552700"/>
              <a:ext cx="1828800" cy="158305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624840</xdr:colOff>
      <xdr:row>13</xdr:row>
      <xdr:rowOff>175261</xdr:rowOff>
    </xdr:from>
    <xdr:to>
      <xdr:col>8</xdr:col>
      <xdr:colOff>312420</xdr:colOff>
      <xdr:row>22</xdr:row>
      <xdr:rowOff>106681</xdr:rowOff>
    </xdr:to>
    <mc:AlternateContent xmlns:mc="http://schemas.openxmlformats.org/markup-compatibility/2006" xmlns:sle15="http://schemas.microsoft.com/office/drawing/2012/slicer">
      <mc:Choice Requires="sle15">
        <xdr:graphicFrame macro="">
          <xdr:nvGraphicFramePr>
            <xdr:cNvPr id="8" name="Customer">
              <a:extLst>
                <a:ext uri="{FF2B5EF4-FFF2-40B4-BE49-F238E27FC236}">
                  <a16:creationId xmlns:a16="http://schemas.microsoft.com/office/drawing/2014/main" id="{28BB187D-6864-7E89-98D2-32EA027369C4}"/>
                </a:ext>
              </a:extLst>
            </xdr:cNvPr>
            <xdr:cNvGraphicFramePr/>
          </xdr:nvGraphicFramePr>
          <xdr:xfrm>
            <a:off x="0" y="0"/>
            <a:ext cx="0" cy="0"/>
          </xdr:xfrm>
          <a:graphic>
            <a:graphicData uri="http://schemas.microsoft.com/office/drawing/2010/slicer">
              <sle:slicer xmlns:sle="http://schemas.microsoft.com/office/drawing/2010/slicer" name="Customer"/>
            </a:graphicData>
          </a:graphic>
        </xdr:graphicFrame>
      </mc:Choice>
      <mc:Fallback xmlns="">
        <xdr:sp macro="" textlink="">
          <xdr:nvSpPr>
            <xdr:cNvPr id="0" name=""/>
            <xdr:cNvSpPr>
              <a:spLocks noTextEdit="1"/>
            </xdr:cNvSpPr>
          </xdr:nvSpPr>
          <xdr:spPr>
            <a:xfrm>
              <a:off x="4137660" y="2552701"/>
              <a:ext cx="1828800" cy="157734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91440</xdr:colOff>
      <xdr:row>1</xdr:row>
      <xdr:rowOff>175260</xdr:rowOff>
    </xdr:from>
    <xdr:to>
      <xdr:col>16</xdr:col>
      <xdr:colOff>403860</xdr:colOff>
      <xdr:row>16</xdr:row>
      <xdr:rowOff>175260</xdr:rowOff>
    </xdr:to>
    <xdr:graphicFrame macro="">
      <xdr:nvGraphicFramePr>
        <xdr:cNvPr id="2" name="Chart 1">
          <a:extLst>
            <a:ext uri="{FF2B5EF4-FFF2-40B4-BE49-F238E27FC236}">
              <a16:creationId xmlns:a16="http://schemas.microsoft.com/office/drawing/2014/main" id="{9C9410CE-A753-9264-6510-7A893ADA90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563880</xdr:colOff>
      <xdr:row>2</xdr:row>
      <xdr:rowOff>7620</xdr:rowOff>
    </xdr:from>
    <xdr:to>
      <xdr:col>20</xdr:col>
      <xdr:colOff>556260</xdr:colOff>
      <xdr:row>10</xdr:row>
      <xdr:rowOff>99060</xdr:rowOff>
    </xdr:to>
    <xdr:graphicFrame macro="">
      <xdr:nvGraphicFramePr>
        <xdr:cNvPr id="4" name="Chart 3">
          <a:extLst>
            <a:ext uri="{FF2B5EF4-FFF2-40B4-BE49-F238E27FC236}">
              <a16:creationId xmlns:a16="http://schemas.microsoft.com/office/drawing/2014/main" id="{47B9AA26-0B0E-2E48-FE6E-DE67CEE6EA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266700</xdr:colOff>
      <xdr:row>3</xdr:row>
      <xdr:rowOff>121920</xdr:rowOff>
    </xdr:from>
    <xdr:to>
      <xdr:col>11</xdr:col>
      <xdr:colOff>571500</xdr:colOff>
      <xdr:row>18</xdr:row>
      <xdr:rowOff>121920</xdr:rowOff>
    </xdr:to>
    <xdr:graphicFrame macro="">
      <xdr:nvGraphicFramePr>
        <xdr:cNvPr id="3" name="Chart 2">
          <a:extLst>
            <a:ext uri="{FF2B5EF4-FFF2-40B4-BE49-F238E27FC236}">
              <a16:creationId xmlns:a16="http://schemas.microsoft.com/office/drawing/2014/main" id="{6D98A1F6-DA03-F61D-2343-7928FDF4B9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vena" refreshedDate="46113.654085879629" createdVersion="8" refreshedVersion="8" minRefreshableVersion="3" recordCount="10" xr:uid="{BBFA956D-23CA-4359-9A4F-F5D04DF3AF7F}">
  <cacheSource type="worksheet">
    <worksheetSource name="Table7"/>
  </cacheSource>
  <cacheFields count="9">
    <cacheField name="Date" numFmtId="14">
      <sharedItems containsSemiMixedTypes="0" containsNonDate="0" containsDate="1" containsString="0" minDate="2025-01-01T00:00:00" maxDate="2025-01-11T00:00:00" count="10">
        <d v="2025-01-06T00:00:00"/>
        <d v="2025-01-02T00:00:00"/>
        <d v="2025-01-10T00:00:00"/>
        <d v="2025-01-04T00:00:00"/>
        <d v="2025-01-08T00:00:00"/>
        <d v="2025-01-01T00:00:00"/>
        <d v="2025-01-09T00:00:00"/>
        <d v="2025-01-05T00:00:00"/>
        <d v="2025-01-07T00:00:00"/>
        <d v="2025-01-03T00:00:00"/>
      </sharedItems>
    </cacheField>
    <cacheField name="Product" numFmtId="0">
      <sharedItems/>
    </cacheField>
    <cacheField name="Category" numFmtId="0">
      <sharedItems count="2">
        <s v="Electronics"/>
        <s v="Clothing"/>
      </sharedItems>
    </cacheField>
    <cacheField name="Region" numFmtId="0">
      <sharedItems count="4">
        <s v="West"/>
        <s v="South"/>
        <s v="North"/>
        <s v="East"/>
      </sharedItems>
    </cacheField>
    <cacheField name="Sales" numFmtId="164">
      <sharedItems containsSemiMixedTypes="0" containsString="0" containsNumber="1" containsInteger="1" minValue="50" maxValue="2400"/>
    </cacheField>
    <cacheField name="Quantity" numFmtId="0">
      <sharedItems containsSemiMixedTypes="0" containsString="0" containsNumber="1" containsInteger="1" minValue="1" maxValue="5"/>
    </cacheField>
    <cacheField name="Customer" numFmtId="0">
      <sharedItems count="4">
        <s v="Ana"/>
        <s v="Sara"/>
        <s v="John"/>
        <s v="Mike"/>
      </sharedItems>
    </cacheField>
    <cacheField name="Discount" numFmtId="10">
      <sharedItems containsSemiMixedTypes="0" containsString="0" containsNumber="1" minValue="0" maxValue="0.15"/>
    </cacheField>
    <cacheField name="Total after discount" numFmtId="164">
      <sharedItems containsSemiMixedTypes="0" containsString="0" containsNumber="1" minValue="47.5" maxValue="2040"/>
    </cacheField>
  </cacheFields>
  <extLst>
    <ext xmlns:x14="http://schemas.microsoft.com/office/spreadsheetml/2009/9/main" uri="{725AE2AE-9491-48be-B2B4-4EB974FC3084}">
      <x14:pivotCacheDefinition pivotCacheId="9702179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s v="Laptop"/>
    <x v="0"/>
    <x v="0"/>
    <n v="2400"/>
    <n v="2"/>
    <x v="0"/>
    <n v="0.15"/>
    <n v="2040"/>
  </r>
  <r>
    <x v="1"/>
    <s v="Laptop"/>
    <x v="0"/>
    <x v="1"/>
    <n v="1200"/>
    <n v="1"/>
    <x v="0"/>
    <n v="0"/>
    <n v="1200"/>
  </r>
  <r>
    <x v="2"/>
    <s v="Laptop"/>
    <x v="0"/>
    <x v="2"/>
    <n v="1200"/>
    <n v="1"/>
    <x v="0"/>
    <n v="0.1"/>
    <n v="1080"/>
  </r>
  <r>
    <x v="3"/>
    <s v="Phone"/>
    <x v="0"/>
    <x v="3"/>
    <n v="1000"/>
    <n v="4"/>
    <x v="1"/>
    <n v="0.1"/>
    <n v="900"/>
  </r>
  <r>
    <x v="4"/>
    <s v="Phone"/>
    <x v="0"/>
    <x v="2"/>
    <n v="750"/>
    <n v="3"/>
    <x v="1"/>
    <n v="0.05"/>
    <n v="712.5"/>
  </r>
  <r>
    <x v="5"/>
    <s v="Phone"/>
    <x v="0"/>
    <x v="2"/>
    <n v="500"/>
    <n v="2"/>
    <x v="2"/>
    <n v="0.1"/>
    <n v="450"/>
  </r>
  <r>
    <x v="6"/>
    <s v="Shoes"/>
    <x v="1"/>
    <x v="3"/>
    <n v="300"/>
    <n v="3"/>
    <x v="2"/>
    <n v="0"/>
    <n v="300"/>
  </r>
  <r>
    <x v="7"/>
    <s v="Shoes"/>
    <x v="1"/>
    <x v="2"/>
    <n v="200"/>
    <n v="2"/>
    <x v="2"/>
    <n v="0"/>
    <n v="200"/>
  </r>
  <r>
    <x v="8"/>
    <s v="Shirt"/>
    <x v="1"/>
    <x v="1"/>
    <n v="150"/>
    <n v="5"/>
    <x v="3"/>
    <n v="0"/>
    <n v="150"/>
  </r>
  <r>
    <x v="9"/>
    <s v="Shirt"/>
    <x v="1"/>
    <x v="0"/>
    <n v="50"/>
    <n v="3"/>
    <x v="3"/>
    <n v="0.05"/>
    <n v="4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8FDB3C2-2553-4679-BDD8-93E295B3D5E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D3:G9" firstHeaderRow="1" firstDataRow="2" firstDataCol="1"/>
  <pivotFields count="9">
    <pivotField numFmtId="14" showAll="0"/>
    <pivotField showAll="0"/>
    <pivotField axis="axisCol" showAll="0">
      <items count="3">
        <item x="1"/>
        <item x="0"/>
        <item t="default"/>
      </items>
    </pivotField>
    <pivotField axis="axisRow" showAll="0">
      <items count="5">
        <item x="3"/>
        <item x="2"/>
        <item x="1"/>
        <item x="0"/>
        <item t="default"/>
      </items>
    </pivotField>
    <pivotField dataField="1" numFmtId="164" showAll="0"/>
    <pivotField showAll="0"/>
    <pivotField showAll="0">
      <items count="5">
        <item x="0"/>
        <item x="2"/>
        <item x="3"/>
        <item x="1"/>
        <item t="default"/>
      </items>
    </pivotField>
    <pivotField numFmtId="10" showAll="0"/>
    <pivotField numFmtId="164" showAll="0"/>
  </pivotFields>
  <rowFields count="1">
    <field x="3"/>
  </rowFields>
  <rowItems count="5">
    <i>
      <x/>
    </i>
    <i>
      <x v="1"/>
    </i>
    <i>
      <x v="2"/>
    </i>
    <i>
      <x v="3"/>
    </i>
    <i t="grand">
      <x/>
    </i>
  </rowItems>
  <colFields count="1">
    <field x="2"/>
  </colFields>
  <colItems count="3">
    <i>
      <x/>
    </i>
    <i>
      <x v="1"/>
    </i>
    <i t="grand">
      <x/>
    </i>
  </colItems>
  <dataFields count="1">
    <dataField name="Sum of Sales" fld="4" baseField="0" baseItem="0"/>
  </dataFields>
  <formats count="7">
    <format dxfId="7">
      <pivotArea outline="0" collapsedLevelsAreSubtotals="1" fieldPosition="0">
        <references count="1">
          <reference field="2" count="1" selected="0">
            <x v="0"/>
          </reference>
        </references>
      </pivotArea>
    </format>
    <format dxfId="6">
      <pivotArea field="2" type="button" dataOnly="0" labelOnly="1" outline="0" axis="axisCol" fieldPosition="0"/>
    </format>
    <format dxfId="5">
      <pivotArea dataOnly="0" labelOnly="1" fieldPosition="0">
        <references count="1">
          <reference field="2" count="1">
            <x v="0"/>
          </reference>
        </references>
      </pivotArea>
    </format>
    <format dxfId="4">
      <pivotArea outline="0" collapsedLevelsAreSubtotals="1" fieldPosition="0">
        <references count="1">
          <reference field="2" count="1" selected="0">
            <x v="1"/>
          </reference>
        </references>
      </pivotArea>
    </format>
    <format dxfId="3">
      <pivotArea type="topRight" dataOnly="0" labelOnly="1" outline="0" fieldPosition="0"/>
    </format>
    <format dxfId="2">
      <pivotArea dataOnly="0" labelOnly="1" fieldPosition="0">
        <references count="1">
          <reference field="2" count="1">
            <x v="1"/>
          </reference>
        </references>
      </pivotArea>
    </format>
    <format dxfId="1">
      <pivotArea grandCol="1" outline="0" collapsedLevelsAreSubtotals="1" fieldPosition="0"/>
    </format>
  </formats>
  <chartFormats count="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3E30608-E43B-4032-A038-53ECA06C957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9">
    <pivotField numFmtId="14" showAll="0"/>
    <pivotField showAll="0"/>
    <pivotField axis="axisRow" showAll="0">
      <items count="3">
        <item x="1"/>
        <item x="0"/>
        <item t="default"/>
      </items>
    </pivotField>
    <pivotField showAll="0"/>
    <pivotField dataField="1" numFmtId="164" showAll="0"/>
    <pivotField showAll="0"/>
    <pivotField showAll="0"/>
    <pivotField numFmtId="10" showAll="0"/>
    <pivotField numFmtId="164" showAll="0"/>
  </pivotFields>
  <rowFields count="1">
    <field x="2"/>
  </rowFields>
  <rowItems count="3">
    <i>
      <x/>
    </i>
    <i>
      <x v="1"/>
    </i>
    <i t="grand">
      <x/>
    </i>
  </rowItems>
  <colItems count="1">
    <i/>
  </colItems>
  <dataFields count="1">
    <dataField name="Sum of Sales" fld="4" baseField="0" baseItem="0" numFmtId="164"/>
  </dataFields>
  <formats count="5">
    <format dxfId="12">
      <pivotArea collapsedLevelsAreSubtotals="1" fieldPosition="0">
        <references count="1">
          <reference field="2" count="1">
            <x v="0"/>
          </reference>
        </references>
      </pivotArea>
    </format>
    <format dxfId="11">
      <pivotArea collapsedLevelsAreSubtotals="1" fieldPosition="0">
        <references count="1">
          <reference field="2" count="1">
            <x v="1"/>
          </reference>
        </references>
      </pivotArea>
    </format>
    <format dxfId="10">
      <pivotArea grandRow="1" outline="0" collapsedLevelsAreSubtotals="1" fieldPosition="0"/>
    </format>
    <format dxfId="9">
      <pivotArea outline="0" collapsedLevelsAreSubtotals="1" fieldPosition="0"/>
    </format>
    <format dxfId="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D477401-D528-4135-9CC5-4A54079B65B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9:B14" firstHeaderRow="1" firstDataRow="1" firstDataCol="1"/>
  <pivotFields count="9">
    <pivotField numFmtId="14" showAll="0"/>
    <pivotField showAll="0"/>
    <pivotField showAll="0"/>
    <pivotField axis="axisRow" showAll="0">
      <items count="5">
        <item x="3"/>
        <item x="2"/>
        <item x="1"/>
        <item x="0"/>
        <item t="default"/>
      </items>
    </pivotField>
    <pivotField dataField="1" numFmtId="164" showAll="0"/>
    <pivotField showAll="0"/>
    <pivotField showAll="0"/>
    <pivotField numFmtId="10" showAll="0"/>
    <pivotField numFmtId="164" showAll="0"/>
  </pivotFields>
  <rowFields count="1">
    <field x="3"/>
  </rowFields>
  <rowItems count="5">
    <i>
      <x/>
    </i>
    <i>
      <x v="1"/>
    </i>
    <i>
      <x v="2"/>
    </i>
    <i>
      <x v="3"/>
    </i>
    <i t="grand">
      <x/>
    </i>
  </rowItems>
  <colItems count="1">
    <i/>
  </colItems>
  <dataFields count="1">
    <dataField name="Sum of Sales" fld="4" baseField="0" baseItem="0" numFmtId="164"/>
  </dataFields>
  <formats count="2">
    <format dxfId="14">
      <pivotArea outline="0" collapsedLevelsAreSubtotals="1" fieldPosition="0"/>
    </format>
    <format dxfId="13">
      <pivotArea dataOnly="0" labelOnly="1" outline="0" axis="axisValues" fieldPosition="0"/>
    </format>
  </formats>
  <chartFormats count="5">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3" count="1" selected="0">
            <x v="0"/>
          </reference>
        </references>
      </pivotArea>
    </chartFormat>
    <chartFormat chart="7" format="2">
      <pivotArea type="data" outline="0" fieldPosition="0">
        <references count="2">
          <reference field="4294967294" count="1" selected="0">
            <x v="0"/>
          </reference>
          <reference field="3" count="1" selected="0">
            <x v="1"/>
          </reference>
        </references>
      </pivotArea>
    </chartFormat>
    <chartFormat chart="7" format="3">
      <pivotArea type="data" outline="0" fieldPosition="0">
        <references count="2">
          <reference field="4294967294" count="1" selected="0">
            <x v="0"/>
          </reference>
          <reference field="3" count="1" selected="0">
            <x v="2"/>
          </reference>
        </references>
      </pivotArea>
    </chartFormat>
    <chartFormat chart="7" format="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7483F0-CC52-4321-9305-02338EED941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9:B20" firstHeaderRow="1" firstDataRow="1" firstDataCol="1"/>
  <pivotFields count="9">
    <pivotField axis="axisRow" numFmtId="14" showAll="0">
      <items count="11">
        <item x="5"/>
        <item x="1"/>
        <item x="9"/>
        <item x="3"/>
        <item x="7"/>
        <item x="0"/>
        <item x="8"/>
        <item x="4"/>
        <item x="6"/>
        <item x="2"/>
        <item t="default"/>
      </items>
    </pivotField>
    <pivotField showAll="0"/>
    <pivotField showAll="0"/>
    <pivotField showAll="0"/>
    <pivotField dataField="1" numFmtId="164" showAll="0"/>
    <pivotField showAll="0"/>
    <pivotField showAll="0"/>
    <pivotField numFmtId="10" showAll="0"/>
    <pivotField numFmtId="164" showAll="0"/>
  </pivotFields>
  <rowFields count="1">
    <field x="0"/>
  </rowFields>
  <rowItems count="11">
    <i>
      <x/>
    </i>
    <i>
      <x v="1"/>
    </i>
    <i>
      <x v="2"/>
    </i>
    <i>
      <x v="3"/>
    </i>
    <i>
      <x v="4"/>
    </i>
    <i>
      <x v="5"/>
    </i>
    <i>
      <x v="6"/>
    </i>
    <i>
      <x v="7"/>
    </i>
    <i>
      <x v="8"/>
    </i>
    <i>
      <x v="9"/>
    </i>
    <i t="grand">
      <x/>
    </i>
  </rowItems>
  <colItems count="1">
    <i/>
  </colItems>
  <dataFields count="1">
    <dataField name="Sum of Sales" fld="4"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E7C373F-5CA5-4FB5-A516-05D3463BDB38}" sourceName="Region">
  <extLst>
    <x:ext xmlns:x15="http://schemas.microsoft.com/office/spreadsheetml/2010/11/main" uri="{2F2917AC-EB37-4324-AD4E-5DD8C200BD13}">
      <x15:tableSlicerCache tableId="7" column="4"/>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 xr10:uid="{6A44AB9B-63C8-4DBF-9475-6773F31FCD04}" sourceName="Customer">
  <extLst>
    <x:ext xmlns:x15="http://schemas.microsoft.com/office/spreadsheetml/2010/11/main" uri="{2F2917AC-EB37-4324-AD4E-5DD8C200BD13}">
      <x15:tableSlicerCache tableId="7" column="7"/>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0DF6BC1-A6F9-4C24-B0DA-7EBCA7AB7AB6}" cache="Slicer_Region" caption="Region" rowHeight="247650"/>
  <slicer name="Customer" xr10:uid="{A98B9021-1734-42BE-842A-C3560C9FB61C}" cache="Slicer_Customer" caption="Custome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90EFF0D-8F6C-4E9B-A1FB-365B5F3A409E}" name="Table7" displayName="Table7" ref="A1:K12" totalsRowCount="1">
  <autoFilter ref="A1:K11" xr:uid="{390EFF0D-8F6C-4E9B-A1FB-365B5F3A409E}"/>
  <sortState xmlns:xlrd2="http://schemas.microsoft.com/office/spreadsheetml/2017/richdata2" ref="A2:H11">
    <sortCondition descending="1" ref="E1:E11"/>
  </sortState>
  <tableColumns count="11">
    <tableColumn id="1" xr3:uid="{6434C5F9-5D88-4BE3-959F-C662D4A1FBF1}" name="Date" dataDxfId="29" totalsRowDxfId="28"/>
    <tableColumn id="2" xr3:uid="{ADA55757-6106-4FE9-9259-0C4489C70151}" name="Product"/>
    <tableColumn id="3" xr3:uid="{6922EBA1-4B22-437A-A2B2-757945C0A7FC}" name="Category"/>
    <tableColumn id="4" xr3:uid="{22E9B09F-492C-44F1-9C7E-6C595D979BFE}" name="Region"/>
    <tableColumn id="5" xr3:uid="{9CEA85AB-1662-4DC9-957D-3A427E6837AB}" name="Sales" totalsRowFunction="sum" dataDxfId="27" totalsRowDxfId="26" dataCellStyle="Currency" totalsRowCellStyle="Currency"/>
    <tableColumn id="6" xr3:uid="{BFAA6E47-48D5-4C86-AB1F-9A3EA3BCBF30}" name="Quantity" totalsRowFunction="sum" totalsRowDxfId="0"/>
    <tableColumn id="7" xr3:uid="{383F9442-E54E-4E99-B32B-AFAA435D0425}" name="Customer"/>
    <tableColumn id="8" xr3:uid="{4225E52F-6C89-4213-B49B-4E21801D8D8E}" name="Discount" dataDxfId="25" totalsRowDxfId="24" dataCellStyle="Percent" totalsRowCellStyle="Percent"/>
    <tableColumn id="9" xr3:uid="{B76ADA25-5260-460D-AD54-83489B7FE965}" name="Total after discount" totalsRowFunction="sum" dataDxfId="23" totalsRowDxfId="22">
      <calculatedColumnFormula xml:space="preserve"> E2 * (1-H2)</calculatedColumnFormula>
    </tableColumn>
    <tableColumn id="10" xr3:uid="{602135DF-4A4B-4213-98FF-3D6247301359}" name="Sales &gt; 1000" dataDxfId="21" totalsRowDxfId="20">
      <calculatedColumnFormula>IF(E2 &gt; 1000, "Yes", "No")</calculatedColumnFormula>
    </tableColumn>
    <tableColumn id="11" xr3:uid="{22346420-6788-4634-B62D-76FC33EC90B8}" name="Discount 20%" totalsRowFunction="sum" dataDxfId="19" totalsRowDxfId="18">
      <calculatedColumnFormula xml:space="preserve"> E2 * (1 - 0.2)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9D167B9-F249-496E-95E3-A199ADFBB870}" name="Table8" displayName="Table8" ref="A14:B15" totalsRowShown="0">
  <tableColumns count="2">
    <tableColumn id="1" xr3:uid="{D1603751-3ECC-4289-9D0A-28A68682E3E1}" name="Total Electronics" dataDxfId="17">
      <calculatedColumnFormula>SUMIF(C:C, "Electronics", E:E)</calculatedColumnFormula>
    </tableColumn>
    <tableColumn id="2" xr3:uid="{9D894B96-3B0F-4CD6-B26B-C224A2D9747D}" name="Electronics u North" dataDxfId="16">
      <calculatedColumnFormula>SUMIFS(E:E, C:C, "Electronics", D:D, "North")</calculatedColumnFormula>
    </tableColumn>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C2A3C66-BD0F-4C16-A7A6-74EC3CA29BC7}" name="Table9" displayName="Table9" ref="A17:B18" totalsRowShown="0">
  <tableColumns count="2">
    <tableColumn id="1" xr3:uid="{1F9D9118-BDCA-42F8-9697-FEB1FB98C143}" name="Koliko ima prodaja za &quot;Phone&quot;">
      <calculatedColumnFormula>COUNTIF(B:B, "Phone")</calculatedColumnFormula>
    </tableColumn>
    <tableColumn id="2" xr3:uid="{C0B1A085-F613-4F65-BEEE-E16116889CDA}" name="Koliko puta je Ana kupovala u North regionu">
      <calculatedColumnFormula>COUNTIFS(G:G, "Ana", D:D, "North")</calculatedColumnFormula>
    </tableColumn>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4CABACF-8838-4114-AEA9-9F2B5B03E09F}" name="Table11" displayName="Table11" ref="D14:E18" totalsRowShown="0">
  <autoFilter ref="D14:E18" xr:uid="{B4CABACF-8838-4114-AEA9-9F2B5B03E09F}"/>
  <tableColumns count="2">
    <tableColumn id="1" xr3:uid="{FAEE3766-0498-4244-B86A-B8D46F99E734}" name="Product"/>
    <tableColumn id="2" xr3:uid="{2648C000-8767-4B1E-AE0B-609C8F8CF6B4}" name="Price" dataDxfId="1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7"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table" Target="../tables/table2.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50841-5470-4CC3-B252-D72C98FED882}">
  <dimension ref="A1:M23"/>
  <sheetViews>
    <sheetView tabSelected="1" zoomScaleNormal="100" workbookViewId="0">
      <selection activeCell="F12" sqref="F12"/>
    </sheetView>
  </sheetViews>
  <sheetFormatPr defaultRowHeight="14.4" x14ac:dyDescent="0.3"/>
  <cols>
    <col min="1" max="1" width="11" style="1" customWidth="1"/>
    <col min="2" max="2" width="9.44140625" customWidth="1"/>
    <col min="3" max="3" width="11.33203125" customWidth="1"/>
    <col min="5" max="5" width="10.5546875" style="4" bestFit="1" customWidth="1"/>
    <col min="6" max="6" width="10" customWidth="1"/>
    <col min="7" max="7" width="11" customWidth="1"/>
    <col min="8" max="8" width="10.21875" style="5" customWidth="1"/>
    <col min="9" max="9" width="18.77734375" customWidth="1"/>
    <col min="10" max="10" width="13.33203125" customWidth="1"/>
    <col min="11" max="11" width="15.44140625" customWidth="1"/>
    <col min="12" max="12" width="10" customWidth="1"/>
    <col min="13" max="13" width="9.6640625" style="2" customWidth="1"/>
    <col min="15" max="15" width="14.21875" customWidth="1"/>
  </cols>
  <sheetData>
    <row r="1" spans="1:11" x14ac:dyDescent="0.3">
      <c r="A1" s="1" t="s">
        <v>0</v>
      </c>
      <c r="B1" t="s">
        <v>1</v>
      </c>
      <c r="C1" t="s">
        <v>2</v>
      </c>
      <c r="D1" t="s">
        <v>3</v>
      </c>
      <c r="E1" s="4" t="s">
        <v>4</v>
      </c>
      <c r="F1" t="s">
        <v>5</v>
      </c>
      <c r="G1" t="s">
        <v>6</v>
      </c>
      <c r="H1" s="5" t="s">
        <v>7</v>
      </c>
      <c r="I1" t="s">
        <v>22</v>
      </c>
      <c r="J1" t="s">
        <v>33</v>
      </c>
      <c r="K1" t="s">
        <v>34</v>
      </c>
    </row>
    <row r="2" spans="1:11" x14ac:dyDescent="0.3">
      <c r="A2" s="1">
        <v>45663</v>
      </c>
      <c r="B2" t="s">
        <v>12</v>
      </c>
      <c r="C2" t="s">
        <v>9</v>
      </c>
      <c r="D2" t="s">
        <v>17</v>
      </c>
      <c r="E2" s="4">
        <v>2400</v>
      </c>
      <c r="F2">
        <v>2</v>
      </c>
      <c r="G2" t="s">
        <v>14</v>
      </c>
      <c r="H2" s="5">
        <v>0.15</v>
      </c>
      <c r="I2" s="2">
        <f t="shared" ref="I2:I11" si="0" xml:space="preserve"> E2 * (1-H2)</f>
        <v>2040</v>
      </c>
      <c r="J2" t="str">
        <f t="shared" ref="J2:J11" si="1">IF(E2 &gt; 1000, "Yes", "No")</f>
        <v>Yes</v>
      </c>
      <c r="K2" s="2">
        <f t="shared" ref="K2:K11" si="2" xml:space="preserve"> E2 * (1 - 0.2)</f>
        <v>1920</v>
      </c>
    </row>
    <row r="3" spans="1:11" x14ac:dyDescent="0.3">
      <c r="A3" s="1">
        <v>45659</v>
      </c>
      <c r="B3" t="s">
        <v>12</v>
      </c>
      <c r="C3" t="s">
        <v>9</v>
      </c>
      <c r="D3" t="s">
        <v>13</v>
      </c>
      <c r="E3" s="4">
        <v>1200</v>
      </c>
      <c r="F3">
        <v>1</v>
      </c>
      <c r="G3" t="s">
        <v>14</v>
      </c>
      <c r="H3" s="5">
        <v>0</v>
      </c>
      <c r="I3" s="2">
        <f t="shared" si="0"/>
        <v>1200</v>
      </c>
      <c r="J3" t="str">
        <f t="shared" si="1"/>
        <v>Yes</v>
      </c>
      <c r="K3" s="2">
        <f t="shared" si="2"/>
        <v>960</v>
      </c>
    </row>
    <row r="4" spans="1:11" x14ac:dyDescent="0.3">
      <c r="A4" s="1">
        <v>45667</v>
      </c>
      <c r="B4" t="s">
        <v>12</v>
      </c>
      <c r="C4" t="s">
        <v>9</v>
      </c>
      <c r="D4" t="s">
        <v>10</v>
      </c>
      <c r="E4" s="4">
        <v>1200</v>
      </c>
      <c r="F4">
        <v>1</v>
      </c>
      <c r="G4" t="s">
        <v>14</v>
      </c>
      <c r="H4" s="5">
        <v>0.1</v>
      </c>
      <c r="I4" s="2">
        <f t="shared" si="0"/>
        <v>1080</v>
      </c>
      <c r="J4" t="str">
        <f t="shared" si="1"/>
        <v>Yes</v>
      </c>
      <c r="K4" s="2">
        <f t="shared" si="2"/>
        <v>960</v>
      </c>
    </row>
    <row r="5" spans="1:11" x14ac:dyDescent="0.3">
      <c r="A5" s="1">
        <v>45661</v>
      </c>
      <c r="B5" t="s">
        <v>8</v>
      </c>
      <c r="C5" t="s">
        <v>9</v>
      </c>
      <c r="D5" t="s">
        <v>19</v>
      </c>
      <c r="E5" s="4">
        <v>1000</v>
      </c>
      <c r="F5">
        <v>4</v>
      </c>
      <c r="G5" t="s">
        <v>20</v>
      </c>
      <c r="H5" s="5">
        <v>0.1</v>
      </c>
      <c r="I5" s="2">
        <f t="shared" si="0"/>
        <v>900</v>
      </c>
      <c r="J5" t="str">
        <f t="shared" si="1"/>
        <v>No</v>
      </c>
      <c r="K5" s="2">
        <f t="shared" si="2"/>
        <v>800</v>
      </c>
    </row>
    <row r="6" spans="1:11" x14ac:dyDescent="0.3">
      <c r="A6" s="1">
        <v>45665</v>
      </c>
      <c r="B6" t="s">
        <v>8</v>
      </c>
      <c r="C6" t="s">
        <v>9</v>
      </c>
      <c r="D6" t="s">
        <v>10</v>
      </c>
      <c r="E6" s="4">
        <v>750</v>
      </c>
      <c r="F6">
        <v>3</v>
      </c>
      <c r="G6" t="s">
        <v>20</v>
      </c>
      <c r="H6" s="5">
        <v>0.05</v>
      </c>
      <c r="I6" s="2">
        <f t="shared" si="0"/>
        <v>712.5</v>
      </c>
      <c r="J6" t="str">
        <f t="shared" si="1"/>
        <v>No</v>
      </c>
      <c r="K6" s="2">
        <f t="shared" si="2"/>
        <v>600</v>
      </c>
    </row>
    <row r="7" spans="1:11" x14ac:dyDescent="0.3">
      <c r="A7" s="1">
        <v>45658</v>
      </c>
      <c r="B7" t="s">
        <v>8</v>
      </c>
      <c r="C7" t="s">
        <v>9</v>
      </c>
      <c r="D7" t="s">
        <v>10</v>
      </c>
      <c r="E7" s="4">
        <v>500</v>
      </c>
      <c r="F7">
        <v>2</v>
      </c>
      <c r="G7" t="s">
        <v>11</v>
      </c>
      <c r="H7" s="5">
        <v>0.1</v>
      </c>
      <c r="I7" s="2">
        <f t="shared" si="0"/>
        <v>450</v>
      </c>
      <c r="J7" t="str">
        <f t="shared" si="1"/>
        <v>No</v>
      </c>
      <c r="K7" s="2">
        <f t="shared" si="2"/>
        <v>400</v>
      </c>
    </row>
    <row r="8" spans="1:11" x14ac:dyDescent="0.3">
      <c r="A8" s="1">
        <v>45666</v>
      </c>
      <c r="B8" t="s">
        <v>21</v>
      </c>
      <c r="C8" t="s">
        <v>16</v>
      </c>
      <c r="D8" t="s">
        <v>19</v>
      </c>
      <c r="E8" s="4">
        <v>300</v>
      </c>
      <c r="F8">
        <v>3</v>
      </c>
      <c r="G8" t="s">
        <v>11</v>
      </c>
      <c r="H8" s="5">
        <v>0</v>
      </c>
      <c r="I8" s="2">
        <f t="shared" si="0"/>
        <v>300</v>
      </c>
      <c r="J8" t="str">
        <f t="shared" si="1"/>
        <v>No</v>
      </c>
      <c r="K8" s="2">
        <f t="shared" si="2"/>
        <v>240</v>
      </c>
    </row>
    <row r="9" spans="1:11" x14ac:dyDescent="0.3">
      <c r="A9" s="1">
        <v>45662</v>
      </c>
      <c r="B9" t="s">
        <v>21</v>
      </c>
      <c r="C9" t="s">
        <v>16</v>
      </c>
      <c r="D9" t="s">
        <v>10</v>
      </c>
      <c r="E9" s="4">
        <v>200</v>
      </c>
      <c r="F9">
        <v>2</v>
      </c>
      <c r="G9" t="s">
        <v>11</v>
      </c>
      <c r="H9" s="5">
        <v>0</v>
      </c>
      <c r="I9" s="2">
        <f t="shared" si="0"/>
        <v>200</v>
      </c>
      <c r="J9" t="str">
        <f t="shared" si="1"/>
        <v>No</v>
      </c>
      <c r="K9" s="2">
        <f t="shared" si="2"/>
        <v>160</v>
      </c>
    </row>
    <row r="10" spans="1:11" x14ac:dyDescent="0.3">
      <c r="A10" s="1">
        <v>45664</v>
      </c>
      <c r="B10" t="s">
        <v>15</v>
      </c>
      <c r="C10" t="s">
        <v>16</v>
      </c>
      <c r="D10" t="s">
        <v>13</v>
      </c>
      <c r="E10" s="4">
        <v>150</v>
      </c>
      <c r="F10">
        <v>5</v>
      </c>
      <c r="G10" t="s">
        <v>18</v>
      </c>
      <c r="H10" s="5">
        <v>0</v>
      </c>
      <c r="I10" s="2">
        <f t="shared" si="0"/>
        <v>150</v>
      </c>
      <c r="J10" t="str">
        <f t="shared" si="1"/>
        <v>No</v>
      </c>
      <c r="K10" s="2">
        <f t="shared" si="2"/>
        <v>120</v>
      </c>
    </row>
    <row r="11" spans="1:11" x14ac:dyDescent="0.3">
      <c r="A11" s="1">
        <v>45660</v>
      </c>
      <c r="B11" t="s">
        <v>15</v>
      </c>
      <c r="C11" t="s">
        <v>16</v>
      </c>
      <c r="D11" t="s">
        <v>17</v>
      </c>
      <c r="E11" s="4">
        <v>50</v>
      </c>
      <c r="F11">
        <v>3</v>
      </c>
      <c r="G11" t="s">
        <v>18</v>
      </c>
      <c r="H11" s="5">
        <v>0.05</v>
      </c>
      <c r="I11" s="2">
        <f t="shared" si="0"/>
        <v>47.5</v>
      </c>
      <c r="J11" t="str">
        <f t="shared" si="1"/>
        <v>No</v>
      </c>
      <c r="K11" s="2">
        <f t="shared" si="2"/>
        <v>40</v>
      </c>
    </row>
    <row r="12" spans="1:11" x14ac:dyDescent="0.3">
      <c r="E12" s="9">
        <f>SUBTOTAL(109,Table7[Sales])</f>
        <v>7750</v>
      </c>
      <c r="F12" s="3">
        <f>SUBTOTAL(109,Table7[Quantity])</f>
        <v>26</v>
      </c>
      <c r="I12" s="2">
        <f>SUBTOTAL(109,Table7[Total after discount])</f>
        <v>7080</v>
      </c>
      <c r="J12" s="3"/>
      <c r="K12" s="2">
        <f>SUBTOTAL(109,Table7[Discount 20%])</f>
        <v>6200</v>
      </c>
    </row>
    <row r="14" spans="1:11" x14ac:dyDescent="0.3">
      <c r="A14" t="s">
        <v>23</v>
      </c>
      <c r="B14" t="s">
        <v>24</v>
      </c>
      <c r="D14" t="s">
        <v>1</v>
      </c>
      <c r="E14" s="2" t="s">
        <v>31</v>
      </c>
    </row>
    <row r="15" spans="1:11" x14ac:dyDescent="0.3">
      <c r="A15" s="2">
        <f>SUMIF(C:C, "Electronics", E:E)</f>
        <v>7050</v>
      </c>
      <c r="B15" s="2">
        <f>SUMIFS(E:E, C:C, "Electronics", D:D, "North")</f>
        <v>2450</v>
      </c>
      <c r="D15" t="s">
        <v>8</v>
      </c>
      <c r="E15" s="2">
        <v>300</v>
      </c>
    </row>
    <row r="16" spans="1:11" x14ac:dyDescent="0.3">
      <c r="A16"/>
      <c r="D16" t="s">
        <v>12</v>
      </c>
      <c r="E16" s="2">
        <v>1000</v>
      </c>
    </row>
    <row r="17" spans="1:5" x14ac:dyDescent="0.3">
      <c r="A17" t="s">
        <v>29</v>
      </c>
      <c r="B17" t="s">
        <v>30</v>
      </c>
      <c r="D17" t="s">
        <v>15</v>
      </c>
      <c r="E17" s="2">
        <v>20</v>
      </c>
    </row>
    <row r="18" spans="1:5" x14ac:dyDescent="0.3">
      <c r="A18">
        <f>COUNTIF(B:B, "Phone")</f>
        <v>3</v>
      </c>
      <c r="B18">
        <f>COUNTIFS(G:G, "Ana", D:D, "North")</f>
        <v>1</v>
      </c>
      <c r="D18" t="s">
        <v>21</v>
      </c>
      <c r="E18" s="2">
        <v>80</v>
      </c>
    </row>
    <row r="19" spans="1:5" x14ac:dyDescent="0.3">
      <c r="A19"/>
    </row>
    <row r="20" spans="1:5" x14ac:dyDescent="0.3">
      <c r="A20"/>
    </row>
    <row r="21" spans="1:5" x14ac:dyDescent="0.3">
      <c r="A21" s="2">
        <f>VLOOKUP(B2, $D$15:$E$18, 2, FALSE)</f>
        <v>1000</v>
      </c>
      <c r="C21" t="s">
        <v>32</v>
      </c>
    </row>
    <row r="22" spans="1:5" x14ac:dyDescent="0.3">
      <c r="A22" s="2">
        <f>IFERROR(VLOOKUP(B2,$D$15:$E$18,2,FALSE), "Not found")</f>
        <v>1000</v>
      </c>
      <c r="C22" t="s">
        <v>16</v>
      </c>
    </row>
    <row r="23" spans="1:5" x14ac:dyDescent="0.3">
      <c r="A23" s="3"/>
    </row>
  </sheetData>
  <phoneticPr fontId="3" type="noConversion"/>
  <dataValidations count="1">
    <dataValidation type="list" allowBlank="1" showInputMessage="1" showErrorMessage="1" sqref="C1 C22" xr:uid="{3B10BF64-3EA3-44DB-9EBD-A6DC60BE3379}">
      <formula1>"Electronics,Clothing"</formula1>
    </dataValidation>
  </dataValidations>
  <pageMargins left="0.7" right="0.7" top="0.75" bottom="0.75" header="0.3" footer="0.3"/>
  <pageSetup paperSize="9" orientation="landscape" horizontalDpi="300" verticalDpi="300" r:id="rId1"/>
  <drawing r:id="rId2"/>
  <tableParts count="4">
    <tablePart r:id="rId3"/>
    <tablePart r:id="rId4"/>
    <tablePart r:id="rId5"/>
    <tablePart r:id="rId6"/>
  </tableParts>
  <extLst>
    <ext xmlns:x15="http://schemas.microsoft.com/office/spreadsheetml/2010/11/main" uri="{3A4CF648-6AED-40f4-86FF-DC5316D8AED3}">
      <x14:slicerList xmlns:x14="http://schemas.microsoft.com/office/spreadsheetml/2009/9/main">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D0A40-97EA-4434-BB69-946EF0FC6E52}">
  <dimension ref="A3:G14"/>
  <sheetViews>
    <sheetView workbookViewId="0">
      <selection activeCell="A17" sqref="A17"/>
    </sheetView>
  </sheetViews>
  <sheetFormatPr defaultRowHeight="14.4" x14ac:dyDescent="0.3"/>
  <cols>
    <col min="1" max="1" width="12.44140625" bestFit="1" customWidth="1"/>
    <col min="2" max="2" width="11.5546875" style="2" bestFit="1" customWidth="1"/>
    <col min="4" max="4" width="12.44140625" bestFit="1" customWidth="1"/>
    <col min="5" max="5" width="15.5546875" style="2" bestFit="1" customWidth="1"/>
    <col min="6" max="6" width="10.33203125" style="2" bestFit="1" customWidth="1"/>
    <col min="7" max="7" width="10.5546875" style="2" bestFit="1" customWidth="1"/>
  </cols>
  <sheetData>
    <row r="3" spans="1:7" x14ac:dyDescent="0.3">
      <c r="A3" s="6" t="s">
        <v>25</v>
      </c>
      <c r="B3" s="2" t="s">
        <v>27</v>
      </c>
      <c r="D3" s="6" t="s">
        <v>27</v>
      </c>
      <c r="E3" s="8" t="s">
        <v>28</v>
      </c>
    </row>
    <row r="4" spans="1:7" x14ac:dyDescent="0.3">
      <c r="A4" s="7" t="s">
        <v>16</v>
      </c>
      <c r="B4" s="2">
        <v>700</v>
      </c>
      <c r="D4" s="6" t="s">
        <v>25</v>
      </c>
      <c r="E4" s="2" t="s">
        <v>16</v>
      </c>
      <c r="F4" s="2" t="s">
        <v>9</v>
      </c>
      <c r="G4" t="s">
        <v>26</v>
      </c>
    </row>
    <row r="5" spans="1:7" x14ac:dyDescent="0.3">
      <c r="A5" s="7" t="s">
        <v>9</v>
      </c>
      <c r="B5" s="2">
        <v>7050</v>
      </c>
      <c r="D5" s="7" t="s">
        <v>19</v>
      </c>
      <c r="E5" s="2">
        <v>300</v>
      </c>
      <c r="F5" s="2">
        <v>1000</v>
      </c>
      <c r="G5" s="2">
        <v>1300</v>
      </c>
    </row>
    <row r="6" spans="1:7" x14ac:dyDescent="0.3">
      <c r="A6" s="7" t="s">
        <v>26</v>
      </c>
      <c r="B6" s="2">
        <v>7750</v>
      </c>
      <c r="D6" s="7" t="s">
        <v>10</v>
      </c>
      <c r="E6" s="2">
        <v>200</v>
      </c>
      <c r="F6" s="2">
        <v>2450</v>
      </c>
      <c r="G6" s="2">
        <v>2650</v>
      </c>
    </row>
    <row r="7" spans="1:7" x14ac:dyDescent="0.3">
      <c r="D7" s="7" t="s">
        <v>13</v>
      </c>
      <c r="E7" s="2">
        <v>150</v>
      </c>
      <c r="F7" s="2">
        <v>1200</v>
      </c>
      <c r="G7" s="2">
        <v>1350</v>
      </c>
    </row>
    <row r="8" spans="1:7" x14ac:dyDescent="0.3">
      <c r="D8" s="7" t="s">
        <v>17</v>
      </c>
      <c r="E8" s="2">
        <v>50</v>
      </c>
      <c r="F8" s="2">
        <v>2400</v>
      </c>
      <c r="G8" s="2">
        <v>2450</v>
      </c>
    </row>
    <row r="9" spans="1:7" x14ac:dyDescent="0.3">
      <c r="A9" s="6" t="s">
        <v>25</v>
      </c>
      <c r="B9" s="2" t="s">
        <v>27</v>
      </c>
      <c r="D9" s="7" t="s">
        <v>26</v>
      </c>
      <c r="E9" s="2">
        <v>700</v>
      </c>
      <c r="F9" s="2">
        <v>7050</v>
      </c>
      <c r="G9" s="2">
        <v>7750</v>
      </c>
    </row>
    <row r="10" spans="1:7" x14ac:dyDescent="0.3">
      <c r="A10" s="7" t="s">
        <v>19</v>
      </c>
      <c r="B10" s="2">
        <v>1300</v>
      </c>
    </row>
    <row r="11" spans="1:7" x14ac:dyDescent="0.3">
      <c r="A11" s="7" t="s">
        <v>10</v>
      </c>
      <c r="B11" s="2">
        <v>2650</v>
      </c>
    </row>
    <row r="12" spans="1:7" x14ac:dyDescent="0.3">
      <c r="A12" s="7" t="s">
        <v>13</v>
      </c>
      <c r="B12" s="2">
        <v>1350</v>
      </c>
    </row>
    <row r="13" spans="1:7" x14ac:dyDescent="0.3">
      <c r="A13" s="7" t="s">
        <v>17</v>
      </c>
      <c r="B13" s="2">
        <v>2450</v>
      </c>
    </row>
    <row r="14" spans="1:7" x14ac:dyDescent="0.3">
      <c r="A14" s="7" t="s">
        <v>26</v>
      </c>
      <c r="B14" s="2">
        <v>7750</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DB7FD-99C4-4F7D-B909-AE4BEE00A16B}">
  <dimension ref="A1:B20"/>
  <sheetViews>
    <sheetView workbookViewId="0">
      <selection activeCell="B5" sqref="B5"/>
    </sheetView>
  </sheetViews>
  <sheetFormatPr defaultRowHeight="14.4" x14ac:dyDescent="0.3"/>
  <cols>
    <col min="1" max="1" width="12.44140625" bestFit="1" customWidth="1"/>
    <col min="2" max="2" width="11.5546875" bestFit="1" customWidth="1"/>
  </cols>
  <sheetData>
    <row r="1" spans="1:2" ht="28.8" x14ac:dyDescent="0.3">
      <c r="A1" s="10" t="s">
        <v>35</v>
      </c>
      <c r="B1" s="10" t="s">
        <v>36</v>
      </c>
    </row>
    <row r="2" spans="1:2" x14ac:dyDescent="0.3">
      <c r="A2" s="11">
        <v>1</v>
      </c>
      <c r="B2" s="11">
        <v>100</v>
      </c>
    </row>
    <row r="3" spans="1:2" x14ac:dyDescent="0.3">
      <c r="A3" s="11">
        <v>2</v>
      </c>
      <c r="B3" s="11">
        <v>120</v>
      </c>
    </row>
    <row r="4" spans="1:2" x14ac:dyDescent="0.3">
      <c r="A4" s="11">
        <v>3</v>
      </c>
      <c r="B4" s="11">
        <v>150</v>
      </c>
    </row>
    <row r="5" spans="1:2" x14ac:dyDescent="0.3">
      <c r="A5" s="11">
        <v>4</v>
      </c>
      <c r="B5" s="12" cm="1">
        <f t="array" ref="B5">TREND(B2:B4, A2:A4, 4)</f>
        <v>173.33333333333331</v>
      </c>
    </row>
    <row r="9" spans="1:2" x14ac:dyDescent="0.3">
      <c r="A9" s="6" t="s">
        <v>25</v>
      </c>
      <c r="B9" t="s">
        <v>27</v>
      </c>
    </row>
    <row r="10" spans="1:2" x14ac:dyDescent="0.3">
      <c r="A10" s="13">
        <v>45658</v>
      </c>
      <c r="B10" s="3">
        <v>500</v>
      </c>
    </row>
    <row r="11" spans="1:2" x14ac:dyDescent="0.3">
      <c r="A11" s="13">
        <v>45659</v>
      </c>
      <c r="B11" s="3">
        <v>1200</v>
      </c>
    </row>
    <row r="12" spans="1:2" x14ac:dyDescent="0.3">
      <c r="A12" s="13">
        <v>45660</v>
      </c>
      <c r="B12" s="3">
        <v>50</v>
      </c>
    </row>
    <row r="13" spans="1:2" x14ac:dyDescent="0.3">
      <c r="A13" s="13">
        <v>45661</v>
      </c>
      <c r="B13" s="3">
        <v>1000</v>
      </c>
    </row>
    <row r="14" spans="1:2" x14ac:dyDescent="0.3">
      <c r="A14" s="13">
        <v>45662</v>
      </c>
      <c r="B14" s="3">
        <v>200</v>
      </c>
    </row>
    <row r="15" spans="1:2" x14ac:dyDescent="0.3">
      <c r="A15" s="13">
        <v>45663</v>
      </c>
      <c r="B15" s="3">
        <v>2400</v>
      </c>
    </row>
    <row r="16" spans="1:2" x14ac:dyDescent="0.3">
      <c r="A16" s="13">
        <v>45664</v>
      </c>
      <c r="B16" s="3">
        <v>150</v>
      </c>
    </row>
    <row r="17" spans="1:2" x14ac:dyDescent="0.3">
      <c r="A17" s="13">
        <v>45665</v>
      </c>
      <c r="B17" s="3">
        <v>750</v>
      </c>
    </row>
    <row r="18" spans="1:2" x14ac:dyDescent="0.3">
      <c r="A18" s="13">
        <v>45666</v>
      </c>
      <c r="B18" s="3">
        <v>300</v>
      </c>
    </row>
    <row r="19" spans="1:2" x14ac:dyDescent="0.3">
      <c r="A19" s="13">
        <v>45667</v>
      </c>
      <c r="B19" s="3">
        <v>1200</v>
      </c>
    </row>
    <row r="20" spans="1:2" x14ac:dyDescent="0.3">
      <c r="A20" s="13" t="s">
        <v>26</v>
      </c>
      <c r="B20" s="3">
        <v>7750</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Nevena Ćulibrk</dc:creator>
  <cp:lastModifiedBy>Nevena Ćulibrk</cp:lastModifiedBy>
  <dcterms:created xsi:type="dcterms:W3CDTF">2026-04-01T12:45:10Z</dcterms:created>
  <dcterms:modified xsi:type="dcterms:W3CDTF">2026-04-22T19:36:37Z</dcterms:modified>
</cp:coreProperties>
</file>